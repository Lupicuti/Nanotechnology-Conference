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Risposte del modulo 1" sheetId="3" state="visible" r:id="rId3"/>
    <sheet xmlns:r="http://schemas.openxmlformats.org/officeDocument/2006/relationships" name="Lab - AFM" sheetId="4" state="visible" r:id="rId4"/>
    <sheet xmlns:r="http://schemas.openxmlformats.org/officeDocument/2006/relationships" name="Lab - Nanomedicine" sheetId="5" state="visible" r:id="rId5"/>
    <sheet xmlns:r="http://schemas.openxmlformats.org/officeDocument/2006/relationships" name="Lab - Quantum Well" sheetId="6" state="visible" r:id="rId6"/>
    <sheet xmlns:r="http://schemas.openxmlformats.org/officeDocument/2006/relationships" name="Lab - Nanowires" sheetId="7" state="visible" r:id="rId7"/>
    <sheet xmlns:r="http://schemas.openxmlformats.org/officeDocument/2006/relationships" name="Lab - HERITAGE-LAB" sheetId="8" state="visible" r:id="rId8"/>
    <sheet xmlns:r="http://schemas.openxmlformats.org/officeDocument/2006/relationships" name="Lab - Light &amp; Photonics" sheetId="9" state="visible" r:id="rId9"/>
    <sheet xmlns:r="http://schemas.openxmlformats.org/officeDocument/2006/relationships" name="Lab - Computat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00F0FF"/>
      <sz val="12"/>
    </font>
    <font>
      <name val="Calibri"/>
      <sz val="11"/>
    </font>
    <font>
      <name val="Calibri"/>
      <b val="1"/>
      <color rgb="0010B981"/>
      <sz val="11"/>
    </font>
    <font>
      <name val="Calibri"/>
      <b val="1"/>
      <color rgb="0010B981"/>
      <sz val="12"/>
    </font>
    <font>
      <name val="Calibri"/>
      <b val="1"/>
      <color rgb="0000F0FF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21A2D"/>
        <bgColor rgb="00121A2D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4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8" customWidth="1" min="2" max="2"/>
  </cols>
  <sheetData>
    <row r="1">
      <c r="A1" s="1" t="inlineStr">
        <is>
          <t>SAPIENZA NANO &amp; TECH 2026 — LIVE ANALYTICS DASHBOARD</t>
        </is>
      </c>
    </row>
    <row r="2"/>
    <row r="4">
      <c r="A4" s="2" t="inlineStr">
        <is>
          <t>PLENARY &amp; WORKSHOP SESSION ATTENDANCE breakdown</t>
        </is>
      </c>
    </row>
    <row r="5">
      <c r="A5" s="3" t="inlineStr">
        <is>
          <t>Session Name / Time Slot</t>
        </is>
      </c>
      <c r="B5" s="3" t="inlineStr">
        <is>
          <t>Total Attendees Registered</t>
        </is>
      </c>
    </row>
    <row r="6">
      <c r="A6" s="4" t="inlineStr">
        <is>
          <t>Session 1: Sept 17 Morning (Plenary Keynotes &amp; Optics)</t>
        </is>
      </c>
      <c r="B6" s="5">
        <f>COUNTIF('Risposte del modulo 1'!F:F, "*Session 1*")</f>
        <v/>
      </c>
    </row>
    <row r="7">
      <c r="A7" s="4" t="inlineStr">
        <is>
          <t>Session 2: Sept 17 Afternoon (Synthesis &amp; Nanorestoration)</t>
        </is>
      </c>
      <c r="B7" s="5">
        <f>COUNTIF('Risposte del modulo 1'!F:F, "*Session 2*")</f>
        <v/>
      </c>
    </row>
    <row r="8">
      <c r="A8" s="4" t="inlineStr">
        <is>
          <t>Session 3: Sept 18 Morning (Reticular Chem &amp; Nanofluidics)</t>
        </is>
      </c>
      <c r="B8" s="5">
        <f>COUNTIF('Risposte del modulo 1'!F:F, "*Session 3*")</f>
        <v/>
      </c>
    </row>
    <row r="9">
      <c r="A9" s="4" t="inlineStr">
        <is>
          <t>Session 4: Sept 18 Afternoon (Hands-on Laboratory Workshop)</t>
        </is>
      </c>
      <c r="B9" s="5">
        <f>COUNTIF('Risposte del modulo 1'!F:F, "*Session 4*")</f>
        <v/>
      </c>
    </row>
    <row r="12">
      <c r="A12" s="6" t="inlineStr">
        <is>
          <t>RESERVED LABORATORY WORKSHOP SEATS BREAKDOWN</t>
        </is>
      </c>
    </row>
    <row r="13">
      <c r="A13" s="3" t="inlineStr">
        <is>
          <t>Laboratory Workshop Name</t>
        </is>
      </c>
      <c r="B13" s="3" t="inlineStr">
        <is>
          <t>Seats Reserved</t>
        </is>
      </c>
    </row>
    <row r="14">
      <c r="A14" s="4" t="inlineStr">
        <is>
          <t>Atomic Force Microscopy (AFM)</t>
        </is>
      </c>
      <c r="B14" s="7">
        <f>COUNTIF('Risposte del modulo 1'!E:E, "*Atomic Force Microscopy*")</f>
        <v/>
      </c>
    </row>
    <row r="15">
      <c r="A15" s="4" t="inlineStr">
        <is>
          <t>Nanomedicine Experience</t>
        </is>
      </c>
      <c r="B15" s="7">
        <f>COUNTIF('Risposte del modulo 1'!E:E, "*Nanomedicine*")</f>
        <v/>
      </c>
    </row>
    <row r="16">
      <c r="A16" s="4" t="inlineStr">
        <is>
          <t>Absorption in Quantum Well</t>
        </is>
      </c>
      <c r="B16" s="7">
        <f>COUNTIF('Risposte del modulo 1'!E:E, "*Quantum Well*")</f>
        <v/>
      </c>
    </row>
    <row r="17">
      <c r="A17" s="4" t="inlineStr">
        <is>
          <t>Semiconductor Nanowires</t>
        </is>
      </c>
      <c r="B17" s="7">
        <f>COUNTIF('Risposte del modulo 1'!E:E, "*Nanowires*")</f>
        <v/>
      </c>
    </row>
    <row r="18">
      <c r="A18" s="4" t="inlineStr">
        <is>
          <t>HERITAGE-LAB Nanotech</t>
        </is>
      </c>
      <c r="B18" s="7">
        <f>COUNTIF('Risposte del modulo 1'!E:E, "*HERITAGE*")</f>
        <v/>
      </c>
    </row>
    <row r="19">
      <c r="A19" s="4" t="inlineStr">
        <is>
          <t>Light and Photonics</t>
        </is>
      </c>
      <c r="B19" s="7">
        <f>COUNTIF('Risposte del modulo 1'!E:E, "*Photonics*")</f>
        <v/>
      </c>
    </row>
    <row r="20">
      <c r="A20" s="4" t="inlineStr">
        <is>
          <t>Computational Plasmonics</t>
        </is>
      </c>
      <c r="B20" s="7">
        <f>COUNTIF('Risposte del modulo 1'!E:E, "*Computational*")</f>
        <v/>
      </c>
    </row>
    <row r="21">
      <c r="A21" s="4" t="inlineStr">
        <is>
          <t>None (Plenary Only)</t>
        </is>
      </c>
      <c r="B21" s="7">
        <f>COUNTIF('Risposte del modulo 1'!E:E, "*Plenary Only*")</f>
        <v/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26" customWidth="1" min="4" max="4"/>
    <col width="29" customWidth="1" min="5" max="5"/>
    <col width="21" customWidth="1" min="6" max="6"/>
  </cols>
  <sheetData>
    <row r="1" ht="28" customHeight="1">
      <c r="A1" s="8" t="inlineStr">
        <is>
          <t>Informazioni cronologiche</t>
        </is>
      </c>
      <c r="B1" s="8" t="inlineStr">
        <is>
          <t>Full Name</t>
        </is>
      </c>
      <c r="C1" s="8" t="inlineStr">
        <is>
          <t>Email Address</t>
        </is>
      </c>
      <c r="D1" s="8" t="inlineStr">
        <is>
          <t>Academic Status / Role</t>
        </is>
      </c>
      <c r="E1" s="8" t="inlineStr">
        <is>
          <t>Day 2 Laboratory Workshop</t>
        </is>
      </c>
      <c r="F1" s="8" t="inlineStr">
        <is>
          <t>Session Attending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ISNUMBER(SEARCH("Atomic Force Microscopy", 'Risposte del modulo 1'!E2:E1000)), "No registrations yet for this laboratory")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ISNUMBER(SEARCH("Nanomedicine", 'Risposte del modulo 1'!E2:E1000)), "No registrations yet for this laboratory")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ISNUMBER(SEARCH("Quantum Well", 'Risposte del modulo 1'!E2:E1000)), "No registrations yet for this laboratory")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ISNUMBER(SEARCH("Nanowires", 'Risposte del modulo 1'!E2:E1000)), "No registrations yet for this laboratory")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ISNUMBER(SEARCH("HERITAGE", 'Risposte del modulo 1'!E2:E1000)), "No registrations yet for this laboratory")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ISNUMBER(SEARCH("Photonics", 'Risposte del modulo 1'!E2:E1000)), "No registrations yet for this laboratory")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 ht="26" customHeight="1">
      <c r="A1" s="9" t="inlineStr">
        <is>
          <t>Full Name</t>
        </is>
      </c>
      <c r="B1" s="9" t="inlineStr">
        <is>
          <t>Email Address</t>
        </is>
      </c>
      <c r="C1" s="9" t="inlineStr">
        <is>
          <t>Academic Status / Role</t>
        </is>
      </c>
      <c r="D1" s="9" t="inlineStr">
        <is>
          <t>Day 2 Laboratory Workshop</t>
        </is>
      </c>
      <c r="E1" s="9" t="inlineStr">
        <is>
          <t>Session Attending</t>
        </is>
      </c>
    </row>
    <row r="2">
      <c r="A2" s="10">
        <f>FILTER('Risposte del modulo 1'!B2:F1000, ISNUMBER(SEARCH("Computational", 'Risposte del modulo 1'!E2:E1000)), "No registrations yet for this laboratory")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2026-07-08T16:19:14Z</dcterms:created>
  <dcterms:modified xmlns:dcterms="http://purl.org/dc/terms/" xmlns:xsi="http://www.w3.org/2001/XMLSchema-instance" xsi:type="dcterms:W3CDTF">2026-07-08T16:19:14Z</dcterms:modified>
</cp:coreProperties>
</file>